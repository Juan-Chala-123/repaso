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A RAMIREZ\Desktop\SENA - TECNOLOGO EN ANALISIS Y DESARROLLO DE SOFTWARE\INSTRUCTOR CARLOS JULIO\"/>
    </mc:Choice>
  </mc:AlternateContent>
  <xr:revisionPtr revIDLastSave="0" documentId="13_ncr:1_{C0C13058-A760-4FBD-917F-386FB49A7736}" xr6:coauthVersionLast="47" xr6:coauthVersionMax="47" xr10:uidLastSave="{00000000-0000-0000-0000-000000000000}"/>
  <bookViews>
    <workbookView xWindow="14295" yWindow="0" windowWidth="14610" windowHeight="15585" xr2:uid="{75EFFEBA-6C65-4C83-B150-9AAB3C15AA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6" i="1" l="1"/>
  <c r="AN17" i="1" s="1"/>
  <c r="AN10" i="1"/>
  <c r="AN9" i="1"/>
  <c r="AI17" i="1"/>
  <c r="AF7" i="1"/>
  <c r="AF8" i="1"/>
  <c r="AF9" i="1"/>
  <c r="AF10" i="1"/>
  <c r="AF6" i="1"/>
  <c r="S7" i="1"/>
  <c r="S8" i="1"/>
  <c r="S9" i="1"/>
  <c r="S10" i="1"/>
  <c r="S6" i="1"/>
  <c r="N7" i="1"/>
  <c r="N8" i="1"/>
  <c r="N9" i="1"/>
  <c r="N10" i="1"/>
  <c r="N6" i="1"/>
  <c r="J7" i="1"/>
  <c r="J8" i="1"/>
  <c r="J9" i="1"/>
  <c r="J10" i="1"/>
  <c r="J6" i="1"/>
  <c r="G7" i="1"/>
  <c r="G8" i="1"/>
  <c r="G9" i="1"/>
  <c r="G10" i="1"/>
  <c r="G6" i="1"/>
  <c r="F7" i="1"/>
  <c r="F8" i="1"/>
  <c r="F9" i="1"/>
  <c r="F10" i="1"/>
  <c r="F6" i="1"/>
  <c r="C8" i="1"/>
  <c r="C9" i="1"/>
  <c r="C10" i="1"/>
  <c r="C7" i="1"/>
  <c r="C6" i="1"/>
</calcChain>
</file>

<file path=xl/sharedStrings.xml><?xml version="1.0" encoding="utf-8"?>
<sst xmlns="http://schemas.openxmlformats.org/spreadsheetml/2006/main" count="144" uniqueCount="115">
  <si>
    <t>PRUEBA DE ESCRITORIO</t>
  </si>
  <si>
    <t>Cálculo de salario semanal</t>
  </si>
  <si>
    <t>Pago por hora</t>
  </si>
  <si>
    <t>Horas trabajadas</t>
  </si>
  <si>
    <t>Resultado</t>
  </si>
  <si>
    <t>Área de un rectángulo</t>
  </si>
  <si>
    <t>Base</t>
  </si>
  <si>
    <t>Altura</t>
  </si>
  <si>
    <t>Area</t>
  </si>
  <si>
    <t>Perimetro</t>
  </si>
  <si>
    <t>Conversión de monedas</t>
  </si>
  <si>
    <t>Dólar</t>
  </si>
  <si>
    <t>Euro</t>
  </si>
  <si>
    <t>Conversion</t>
  </si>
  <si>
    <t>Promedio de notas</t>
  </si>
  <si>
    <t>Nota 1</t>
  </si>
  <si>
    <t>Nota 2</t>
  </si>
  <si>
    <t>Nota 3</t>
  </si>
  <si>
    <t>Promedio</t>
  </si>
  <si>
    <t>Comparación de dos números</t>
  </si>
  <si>
    <t>Numero 1</t>
  </si>
  <si>
    <t>Numero 2</t>
  </si>
  <si>
    <t>Iguales</t>
  </si>
  <si>
    <t>Mayor el 6</t>
  </si>
  <si>
    <t>Mayor el 9</t>
  </si>
  <si>
    <t>Mayor el 2</t>
  </si>
  <si>
    <t>Aprobado o reprobado</t>
  </si>
  <si>
    <t>Calificacion</t>
  </si>
  <si>
    <t>Mayor de tres números</t>
  </si>
  <si>
    <t>Numero 3</t>
  </si>
  <si>
    <t>Numero Mayor</t>
  </si>
  <si>
    <t>Descuento en una compra</t>
  </si>
  <si>
    <t>Monto</t>
  </si>
  <si>
    <t>Valor descuento</t>
  </si>
  <si>
    <t>Total</t>
  </si>
  <si>
    <t>Tabla de multiplicar</t>
  </si>
  <si>
    <t>Numero</t>
  </si>
  <si>
    <t>5 x 1 = 5</t>
  </si>
  <si>
    <t>5 x 2 = 10</t>
  </si>
  <si>
    <t>5 x 3 = 15</t>
  </si>
  <si>
    <t>5 x 4 = 20</t>
  </si>
  <si>
    <t>5 x 5 = 25</t>
  </si>
  <si>
    <t>5 x 6 = 30</t>
  </si>
  <si>
    <t>5 x 7 = 35</t>
  </si>
  <si>
    <t>5 x 8 = 40</t>
  </si>
  <si>
    <t>5 x 9 = 45</t>
  </si>
  <si>
    <t>5 x 10 = 50</t>
  </si>
  <si>
    <t>3 x 1 = 3</t>
  </si>
  <si>
    <t>3 x 2 = 6</t>
  </si>
  <si>
    <t>3 x 3 = 9</t>
  </si>
  <si>
    <t>3 x 4 = 12</t>
  </si>
  <si>
    <t>3 x 5 = 15</t>
  </si>
  <si>
    <t>3 x 6 = 18</t>
  </si>
  <si>
    <t>3 x 7 = 21</t>
  </si>
  <si>
    <t>3 x 8 = 24</t>
  </si>
  <si>
    <t>3 x 9 = 27</t>
  </si>
  <si>
    <t>3 x 10 = 30</t>
  </si>
  <si>
    <t>7 x 1 = 7</t>
  </si>
  <si>
    <t>7 x 2 = 14</t>
  </si>
  <si>
    <t>7 x 3 = 21</t>
  </si>
  <si>
    <t>7 x 4 = 28</t>
  </si>
  <si>
    <t>7 x 5 = 35</t>
  </si>
  <si>
    <t>7 x 6 = 42</t>
  </si>
  <si>
    <t>7 x 7 = 49</t>
  </si>
  <si>
    <t>7 x 8 = 56</t>
  </si>
  <si>
    <t>7 x 9 = 63</t>
  </si>
  <si>
    <t>7 x 10 = 70</t>
  </si>
  <si>
    <t>6 x 1 = 6</t>
  </si>
  <si>
    <t>6 x 2 = 12</t>
  </si>
  <si>
    <t>6 x 3 = 18</t>
  </si>
  <si>
    <t>6 x 4 = 24</t>
  </si>
  <si>
    <t>6 x 5 = 30</t>
  </si>
  <si>
    <t>6 x 6 = 36</t>
  </si>
  <si>
    <t>6 x 7 = 42</t>
  </si>
  <si>
    <t>6 x 8 = 48</t>
  </si>
  <si>
    <t>6 x 9 = 54</t>
  </si>
  <si>
    <t>6 x 10 = 60</t>
  </si>
  <si>
    <t>2 x 1 = 2</t>
  </si>
  <si>
    <t>2 x 2 = 4</t>
  </si>
  <si>
    <t>2 x 3 = 6</t>
  </si>
  <si>
    <t>2 x 4 = 8</t>
  </si>
  <si>
    <t>2 x 5 = 10</t>
  </si>
  <si>
    <t>2 x 6 = 12</t>
  </si>
  <si>
    <t>2 x 7 = 14</t>
  </si>
  <si>
    <t>2 x 8 = 16</t>
  </si>
  <si>
    <t>2 x 9 = 18</t>
  </si>
  <si>
    <t>2 x 10 = 20</t>
  </si>
  <si>
    <t>Suma de números</t>
  </si>
  <si>
    <t>1 + 2 = 3</t>
  </si>
  <si>
    <t>1 + 2 + 3 + 4 + 5 + 6 + 7 + 8 = 36</t>
  </si>
  <si>
    <t>1 + 2 + 3 + 4 + 5 = 15</t>
  </si>
  <si>
    <t>1 + 2 + 3 + 4 + 5 + 6 + 7 + 8 + 9 = 45</t>
  </si>
  <si>
    <t>1 + 2 + 3 + 4 + 5 + 6 + 7 + 8 + 9 + 10 + 11 + 12 = 78</t>
  </si>
  <si>
    <t>Contador de positivos y negativos</t>
  </si>
  <si>
    <t xml:space="preserve">Positivo: </t>
  </si>
  <si>
    <t xml:space="preserve">Negativo: </t>
  </si>
  <si>
    <t>Número mayor y menor</t>
  </si>
  <si>
    <t>Mayor</t>
  </si>
  <si>
    <t>Menor</t>
  </si>
  <si>
    <t>Promedio de un arreglo</t>
  </si>
  <si>
    <t>Búsqueda de un valor en un arreglo</t>
  </si>
  <si>
    <t>No se encuentra</t>
  </si>
  <si>
    <t>El numero se encuentra</t>
  </si>
  <si>
    <t>Nombre</t>
  </si>
  <si>
    <t>Curso</t>
  </si>
  <si>
    <t xml:space="preserve">Promedio: </t>
  </si>
  <si>
    <t>Resultado:</t>
  </si>
  <si>
    <t>Juan</t>
  </si>
  <si>
    <t>Ingeniera Agronoma</t>
  </si>
  <si>
    <t>Sistema de estudiantes</t>
  </si>
  <si>
    <t>Nota 4</t>
  </si>
  <si>
    <t>Nota 5</t>
  </si>
  <si>
    <t>Nota 6</t>
  </si>
  <si>
    <t>Marcos</t>
  </si>
  <si>
    <t>Gastronomia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</si>
</sst>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0ACA-C9DD-42F0-965B-1F07AB885667}">
  <dimension ref="A1:AN55"/>
  <sheetViews>
    <sheetView tabSelected="1" topLeftCell="AH1" workbookViewId="0">
      <selection activeCell="AL16" sqref="AL16"/>
    </sheetView>
  </sheetViews>
  <sheetFormatPr baseColWidth="10" defaultRowHeight="15" x14ac:dyDescent="0.25"/>
  <cols>
    <col min="10" max="10" width="11.42578125" customWidth="1"/>
    <col min="30" max="30" width="43.28515625" customWidth="1"/>
    <col min="38" max="38" width="23.28515625" customWidth="1"/>
    <col min="40" max="40" width="21.5703125" customWidth="1"/>
  </cols>
  <sheetData>
    <row r="1" spans="1:40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40" x14ac:dyDescent="0.25">
      <c r="A2" s="7" t="s">
        <v>1</v>
      </c>
      <c r="B2" s="7"/>
      <c r="C2" s="7"/>
      <c r="D2" s="7" t="s">
        <v>5</v>
      </c>
      <c r="E2" s="7"/>
      <c r="F2" s="7"/>
      <c r="G2" s="7"/>
      <c r="H2" s="7" t="s">
        <v>10</v>
      </c>
      <c r="I2" s="7"/>
      <c r="J2" s="7"/>
      <c r="K2" s="7" t="s">
        <v>14</v>
      </c>
      <c r="L2" s="7"/>
      <c r="M2" s="7"/>
      <c r="N2" s="7"/>
      <c r="O2" s="7" t="s">
        <v>19</v>
      </c>
      <c r="P2" s="7"/>
      <c r="Q2" s="7"/>
      <c r="R2" s="7" t="s">
        <v>26</v>
      </c>
      <c r="S2" s="7"/>
      <c r="T2" s="7" t="s">
        <v>28</v>
      </c>
      <c r="U2" s="7"/>
      <c r="V2" s="7"/>
      <c r="W2" s="7"/>
      <c r="X2" s="7" t="s">
        <v>31</v>
      </c>
      <c r="Y2" s="7"/>
      <c r="Z2" s="10"/>
      <c r="AA2" s="7" t="s">
        <v>35</v>
      </c>
      <c r="AB2" s="7"/>
      <c r="AC2" s="7" t="s">
        <v>87</v>
      </c>
      <c r="AD2" s="7"/>
      <c r="AE2" s="8" t="s">
        <v>93</v>
      </c>
      <c r="AF2" s="8"/>
      <c r="AG2" s="7" t="s">
        <v>96</v>
      </c>
      <c r="AH2" s="7"/>
      <c r="AI2" s="7" t="s">
        <v>99</v>
      </c>
      <c r="AJ2" s="7"/>
      <c r="AK2" s="8" t="s">
        <v>100</v>
      </c>
      <c r="AL2" s="8"/>
      <c r="AM2" s="7" t="s">
        <v>109</v>
      </c>
      <c r="AN2" s="7"/>
    </row>
    <row r="3" spans="1:40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  <c r="AA3" s="7"/>
      <c r="AB3" s="7"/>
      <c r="AC3" s="7"/>
      <c r="AD3" s="7"/>
      <c r="AE3" s="8"/>
      <c r="AF3" s="8"/>
      <c r="AG3" s="7"/>
      <c r="AH3" s="7"/>
      <c r="AI3" s="7"/>
      <c r="AJ3" s="7"/>
      <c r="AK3" s="8"/>
      <c r="AL3" s="8"/>
      <c r="AM3" s="7"/>
      <c r="AN3" s="7"/>
    </row>
    <row r="4" spans="1:40" x14ac:dyDescent="0.25">
      <c r="A4" s="8" t="s">
        <v>2</v>
      </c>
      <c r="B4" s="8" t="s">
        <v>3</v>
      </c>
      <c r="C4" s="7" t="s">
        <v>4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11</v>
      </c>
      <c r="I4" s="7" t="s">
        <v>12</v>
      </c>
      <c r="J4" s="7" t="s">
        <v>13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20</v>
      </c>
      <c r="P4" s="7" t="s">
        <v>21</v>
      </c>
      <c r="Q4" s="7" t="s">
        <v>4</v>
      </c>
      <c r="R4" s="7" t="s">
        <v>27</v>
      </c>
      <c r="S4" s="7" t="s">
        <v>4</v>
      </c>
      <c r="T4" s="7" t="s">
        <v>20</v>
      </c>
      <c r="U4" s="7" t="s">
        <v>21</v>
      </c>
      <c r="V4" s="7" t="s">
        <v>29</v>
      </c>
      <c r="W4" s="8" t="s">
        <v>30</v>
      </c>
      <c r="X4" s="7" t="s">
        <v>32</v>
      </c>
      <c r="Y4" s="8" t="s">
        <v>33</v>
      </c>
      <c r="Z4" s="10" t="s">
        <v>34</v>
      </c>
      <c r="AA4" s="7" t="s">
        <v>36</v>
      </c>
      <c r="AB4" s="7" t="s">
        <v>4</v>
      </c>
      <c r="AC4" s="7" t="s">
        <v>36</v>
      </c>
      <c r="AD4" s="7" t="s">
        <v>4</v>
      </c>
      <c r="AE4" s="7" t="s">
        <v>36</v>
      </c>
      <c r="AF4" s="7" t="s">
        <v>4</v>
      </c>
      <c r="AG4" s="4" t="s">
        <v>36</v>
      </c>
      <c r="AH4" s="4" t="s">
        <v>4</v>
      </c>
      <c r="AI4" s="7" t="s">
        <v>36</v>
      </c>
      <c r="AJ4" s="7" t="s">
        <v>4</v>
      </c>
      <c r="AK4" s="7" t="s">
        <v>36</v>
      </c>
      <c r="AL4" s="7" t="s">
        <v>4</v>
      </c>
      <c r="AM4" s="3" t="s">
        <v>103</v>
      </c>
      <c r="AN4" s="1" t="s">
        <v>107</v>
      </c>
    </row>
    <row r="5" spans="1:40" x14ac:dyDescent="0.25">
      <c r="A5" s="8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7"/>
      <c r="Y5" s="8"/>
      <c r="Z5" s="10"/>
      <c r="AA5" s="7"/>
      <c r="AB5" s="7"/>
      <c r="AC5" s="7"/>
      <c r="AD5" s="7"/>
      <c r="AE5" s="7"/>
      <c r="AF5" s="7"/>
      <c r="AG5" s="6"/>
      <c r="AH5" s="6"/>
      <c r="AI5" s="7"/>
      <c r="AJ5" s="7"/>
      <c r="AK5" s="7"/>
      <c r="AL5" s="7"/>
      <c r="AM5" s="3" t="s">
        <v>104</v>
      </c>
      <c r="AN5" s="1" t="s">
        <v>108</v>
      </c>
    </row>
    <row r="6" spans="1:40" x14ac:dyDescent="0.25">
      <c r="A6" s="7">
        <v>1200</v>
      </c>
      <c r="B6" s="1">
        <v>2</v>
      </c>
      <c r="C6" s="1">
        <f>A6*B6</f>
        <v>2400</v>
      </c>
      <c r="D6" s="1">
        <v>2</v>
      </c>
      <c r="E6" s="1">
        <v>5</v>
      </c>
      <c r="F6" s="1">
        <f>D6*E6</f>
        <v>10</v>
      </c>
      <c r="G6" s="1">
        <f>2*(D6+E6)</f>
        <v>14</v>
      </c>
      <c r="H6" s="1">
        <v>10</v>
      </c>
      <c r="I6" s="4">
        <v>0.92</v>
      </c>
      <c r="J6" s="1">
        <f>H6*I$6</f>
        <v>9.2000000000000011</v>
      </c>
      <c r="K6" s="1">
        <v>3</v>
      </c>
      <c r="L6" s="1">
        <v>3</v>
      </c>
      <c r="M6" s="1">
        <v>5</v>
      </c>
      <c r="N6" s="2">
        <f>(K6+L6+M6)/3</f>
        <v>3.6666666666666665</v>
      </c>
      <c r="O6" s="3">
        <v>2</v>
      </c>
      <c r="P6" s="3">
        <v>2</v>
      </c>
      <c r="Q6" s="3" t="s">
        <v>22</v>
      </c>
      <c r="R6" s="1">
        <v>56</v>
      </c>
      <c r="S6" s="1" t="str">
        <f>IF(R6&gt;=60,"Aprueba","Reprueba")</f>
        <v>Reprueba</v>
      </c>
      <c r="T6" s="2">
        <v>1</v>
      </c>
      <c r="U6" s="2">
        <v>6</v>
      </c>
      <c r="V6" s="2">
        <v>11</v>
      </c>
      <c r="W6" s="2">
        <v>11</v>
      </c>
      <c r="X6" s="1">
        <v>100</v>
      </c>
      <c r="Y6" s="7">
        <v>0.1</v>
      </c>
      <c r="Z6" s="11">
        <v>100</v>
      </c>
      <c r="AA6" s="7">
        <v>5</v>
      </c>
      <c r="AB6" s="13" t="s">
        <v>37</v>
      </c>
      <c r="AC6" s="1">
        <v>2</v>
      </c>
      <c r="AD6" s="1" t="s">
        <v>88</v>
      </c>
      <c r="AE6" s="2">
        <v>3</v>
      </c>
      <c r="AF6" s="2" t="str">
        <f>IF(AE6&gt;0,"Positivo","Negativo")</f>
        <v>Positivo</v>
      </c>
      <c r="AG6" s="1">
        <v>3</v>
      </c>
      <c r="AH6" s="1" t="s">
        <v>98</v>
      </c>
      <c r="AI6" s="1">
        <v>1</v>
      </c>
      <c r="AJ6" s="1" t="s">
        <v>98</v>
      </c>
      <c r="AK6" s="1">
        <v>3</v>
      </c>
      <c r="AL6" s="1" t="s">
        <v>101</v>
      </c>
      <c r="AM6" s="1" t="s">
        <v>15</v>
      </c>
      <c r="AN6" s="1">
        <v>2.5</v>
      </c>
    </row>
    <row r="7" spans="1:40" x14ac:dyDescent="0.25">
      <c r="A7" s="7"/>
      <c r="B7" s="1">
        <v>5</v>
      </c>
      <c r="C7" s="1">
        <f>$A$6*B7</f>
        <v>6000</v>
      </c>
      <c r="D7" s="1">
        <v>8</v>
      </c>
      <c r="E7" s="1">
        <v>7</v>
      </c>
      <c r="F7" s="1">
        <f>D7*E7</f>
        <v>56</v>
      </c>
      <c r="G7" s="1">
        <f>2*(D7+E7)</f>
        <v>30</v>
      </c>
      <c r="H7" s="1">
        <v>20</v>
      </c>
      <c r="I7" s="5"/>
      <c r="J7" s="1">
        <f>H7*I$6</f>
        <v>18.400000000000002</v>
      </c>
      <c r="K7" s="1">
        <v>3.5</v>
      </c>
      <c r="L7" s="1">
        <v>4</v>
      </c>
      <c r="M7" s="1">
        <v>2</v>
      </c>
      <c r="N7" s="2">
        <f>(K7+L7+M7)/3</f>
        <v>3.1666666666666665</v>
      </c>
      <c r="O7" s="3">
        <v>5</v>
      </c>
      <c r="P7" s="3">
        <v>6</v>
      </c>
      <c r="Q7" s="3" t="s">
        <v>23</v>
      </c>
      <c r="R7" s="1">
        <v>23</v>
      </c>
      <c r="S7" s="1" t="str">
        <f>IF(R7&gt;=60,"Aprueba","Reprueba")</f>
        <v>Reprueba</v>
      </c>
      <c r="T7" s="2">
        <v>2</v>
      </c>
      <c r="U7" s="2">
        <v>7</v>
      </c>
      <c r="V7" s="2">
        <v>12</v>
      </c>
      <c r="W7" s="2">
        <v>12</v>
      </c>
      <c r="X7" s="1">
        <v>120</v>
      </c>
      <c r="Y7" s="7"/>
      <c r="Z7" s="12">
        <v>108</v>
      </c>
      <c r="AA7" s="7"/>
      <c r="AB7" s="13" t="s">
        <v>38</v>
      </c>
      <c r="AC7" s="1">
        <v>8</v>
      </c>
      <c r="AD7" s="1" t="s">
        <v>89</v>
      </c>
      <c r="AE7" s="2">
        <v>4</v>
      </c>
      <c r="AF7" s="2" t="str">
        <f t="shared" ref="AF7:AF10" si="0">IF(AE7&gt;0,"Positivo","Negativo")</f>
        <v>Positivo</v>
      </c>
      <c r="AG7" s="1">
        <v>7</v>
      </c>
      <c r="AH7" s="1"/>
      <c r="AI7" s="1">
        <v>2</v>
      </c>
      <c r="AJ7" s="1"/>
      <c r="AK7" s="1">
        <v>45</v>
      </c>
      <c r="AL7" s="1" t="s">
        <v>101</v>
      </c>
      <c r="AM7" s="1" t="s">
        <v>16</v>
      </c>
      <c r="AN7" s="1">
        <v>2.5</v>
      </c>
    </row>
    <row r="8" spans="1:40" x14ac:dyDescent="0.25">
      <c r="A8" s="7"/>
      <c r="B8" s="1">
        <v>10</v>
      </c>
      <c r="C8" s="1">
        <f>$A$6*B8</f>
        <v>12000</v>
      </c>
      <c r="D8" s="1">
        <v>9</v>
      </c>
      <c r="E8" s="1">
        <v>10</v>
      </c>
      <c r="F8" s="1">
        <f>D8*E8</f>
        <v>90</v>
      </c>
      <c r="G8" s="1">
        <f>2*(D8+E8)</f>
        <v>38</v>
      </c>
      <c r="H8" s="1">
        <v>30</v>
      </c>
      <c r="I8" s="5"/>
      <c r="J8" s="1">
        <f>H8*I$6</f>
        <v>27.6</v>
      </c>
      <c r="K8" s="1">
        <v>2.7</v>
      </c>
      <c r="L8" s="1">
        <v>5</v>
      </c>
      <c r="M8" s="1">
        <v>2.9</v>
      </c>
      <c r="N8" s="2">
        <f>(K8+L8+M8)/3</f>
        <v>3.5333333333333332</v>
      </c>
      <c r="O8" s="3">
        <v>6</v>
      </c>
      <c r="P8" s="3">
        <v>9</v>
      </c>
      <c r="Q8" s="3" t="s">
        <v>24</v>
      </c>
      <c r="R8" s="1">
        <v>78</v>
      </c>
      <c r="S8" s="1" t="str">
        <f>IF(R8&gt;=60,"Aprueba","Reprueba")</f>
        <v>Aprueba</v>
      </c>
      <c r="T8" s="2">
        <v>3</v>
      </c>
      <c r="U8" s="2">
        <v>8</v>
      </c>
      <c r="V8" s="2">
        <v>13</v>
      </c>
      <c r="W8" s="2">
        <v>13</v>
      </c>
      <c r="X8" s="1">
        <v>90</v>
      </c>
      <c r="Y8" s="7"/>
      <c r="Z8" s="12">
        <v>90</v>
      </c>
      <c r="AA8" s="7"/>
      <c r="AB8" s="13" t="s">
        <v>39</v>
      </c>
      <c r="AC8" s="1">
        <v>5</v>
      </c>
      <c r="AD8" s="1" t="s">
        <v>90</v>
      </c>
      <c r="AE8" s="2">
        <v>-1</v>
      </c>
      <c r="AF8" s="2" t="str">
        <f t="shared" si="0"/>
        <v>Negativo</v>
      </c>
      <c r="AG8" s="1">
        <v>9</v>
      </c>
      <c r="AH8" s="1"/>
      <c r="AI8" s="1">
        <v>3</v>
      </c>
      <c r="AJ8" s="1"/>
      <c r="AK8" s="1">
        <v>67</v>
      </c>
      <c r="AL8" s="1" t="s">
        <v>101</v>
      </c>
      <c r="AM8" s="1" t="s">
        <v>17</v>
      </c>
      <c r="AN8" s="1">
        <v>4.5</v>
      </c>
    </row>
    <row r="9" spans="1:40" x14ac:dyDescent="0.25">
      <c r="A9" s="7"/>
      <c r="B9" s="1">
        <v>3</v>
      </c>
      <c r="C9" s="1">
        <f>$A$6*B9</f>
        <v>3600</v>
      </c>
      <c r="D9" s="1">
        <v>3</v>
      </c>
      <c r="E9" s="1">
        <v>30</v>
      </c>
      <c r="F9" s="1">
        <f>D9*E9</f>
        <v>90</v>
      </c>
      <c r="G9" s="1">
        <f>2*(D9+E9)</f>
        <v>66</v>
      </c>
      <c r="H9" s="1">
        <v>40</v>
      </c>
      <c r="I9" s="5"/>
      <c r="J9" s="1">
        <f>H9*I$6</f>
        <v>36.800000000000004</v>
      </c>
      <c r="K9" s="1">
        <v>5</v>
      </c>
      <c r="L9" s="1">
        <v>1</v>
      </c>
      <c r="M9" s="1">
        <v>4.5999999999999996</v>
      </c>
      <c r="N9" s="2">
        <f>(K9+L9+M9)/3</f>
        <v>3.5333333333333332</v>
      </c>
      <c r="O9" s="3">
        <v>2</v>
      </c>
      <c r="P9" s="3">
        <v>1</v>
      </c>
      <c r="Q9" s="3" t="s">
        <v>25</v>
      </c>
      <c r="R9" s="1">
        <v>90</v>
      </c>
      <c r="S9" s="1" t="str">
        <f>IF(R9&gt;=60,"Aprueba","Reprueba")</f>
        <v>Aprueba</v>
      </c>
      <c r="T9" s="2">
        <v>4</v>
      </c>
      <c r="U9" s="2">
        <v>9</v>
      </c>
      <c r="V9" s="2">
        <v>14</v>
      </c>
      <c r="W9" s="2">
        <v>14</v>
      </c>
      <c r="X9" s="1">
        <v>70</v>
      </c>
      <c r="Y9" s="7"/>
      <c r="Z9" s="11">
        <v>70</v>
      </c>
      <c r="AA9" s="7"/>
      <c r="AB9" s="13" t="s">
        <v>40</v>
      </c>
      <c r="AC9" s="1">
        <v>9</v>
      </c>
      <c r="AD9" s="1" t="s">
        <v>91</v>
      </c>
      <c r="AE9" s="2">
        <v>-34</v>
      </c>
      <c r="AF9" s="2" t="str">
        <f t="shared" si="0"/>
        <v>Negativo</v>
      </c>
      <c r="AG9" s="1">
        <v>12</v>
      </c>
      <c r="AH9" s="1"/>
      <c r="AI9" s="1">
        <v>4</v>
      </c>
      <c r="AJ9" s="1"/>
      <c r="AK9" s="1">
        <v>2</v>
      </c>
      <c r="AL9" s="1" t="s">
        <v>102</v>
      </c>
      <c r="AM9" s="1" t="s">
        <v>105</v>
      </c>
      <c r="AN9" s="1">
        <f>AVERAGE(AN6:AN8)</f>
        <v>3.1666666666666665</v>
      </c>
    </row>
    <row r="10" spans="1:40" x14ac:dyDescent="0.25">
      <c r="A10" s="7"/>
      <c r="B10" s="1">
        <v>4</v>
      </c>
      <c r="C10" s="1">
        <f>$A$6*B10</f>
        <v>4800</v>
      </c>
      <c r="D10" s="1">
        <v>1</v>
      </c>
      <c r="E10" s="1">
        <v>20</v>
      </c>
      <c r="F10" s="1">
        <f>D10*E10</f>
        <v>20</v>
      </c>
      <c r="G10" s="1">
        <f>2*(D10+E10)</f>
        <v>42</v>
      </c>
      <c r="H10" s="1">
        <v>50</v>
      </c>
      <c r="I10" s="6"/>
      <c r="J10" s="1">
        <f>H10*I$6</f>
        <v>46</v>
      </c>
      <c r="K10" s="1">
        <v>2</v>
      </c>
      <c r="L10" s="1">
        <v>1.5</v>
      </c>
      <c r="M10" s="1">
        <v>2</v>
      </c>
      <c r="N10" s="2">
        <f>(K10+L10+M10)/3</f>
        <v>1.8333333333333333</v>
      </c>
      <c r="O10" s="3">
        <v>3</v>
      </c>
      <c r="P10" s="3">
        <v>3</v>
      </c>
      <c r="Q10" s="3" t="s">
        <v>22</v>
      </c>
      <c r="R10" s="1">
        <v>12</v>
      </c>
      <c r="S10" s="1" t="str">
        <f>IF(R10&gt;=60,"Aprueba","Reprueba")</f>
        <v>Reprueba</v>
      </c>
      <c r="T10" s="2">
        <v>5</v>
      </c>
      <c r="U10" s="2">
        <v>10</v>
      </c>
      <c r="V10" s="2">
        <v>15</v>
      </c>
      <c r="W10" s="2">
        <v>15</v>
      </c>
      <c r="X10" s="1">
        <v>150</v>
      </c>
      <c r="Y10" s="7"/>
      <c r="Z10" s="12">
        <v>135</v>
      </c>
      <c r="AA10" s="7"/>
      <c r="AB10" s="13" t="s">
        <v>41</v>
      </c>
      <c r="AC10" s="1">
        <v>12</v>
      </c>
      <c r="AD10" s="1" t="s">
        <v>92</v>
      </c>
      <c r="AE10" s="2">
        <v>45</v>
      </c>
      <c r="AF10" s="2" t="str">
        <f t="shared" si="0"/>
        <v>Positivo</v>
      </c>
      <c r="AG10" s="1">
        <v>56</v>
      </c>
      <c r="AH10" s="1" t="s">
        <v>97</v>
      </c>
      <c r="AI10" s="1">
        <v>5</v>
      </c>
      <c r="AJ10" s="1"/>
      <c r="AK10" s="1">
        <v>78</v>
      </c>
      <c r="AL10" s="1" t="s">
        <v>101</v>
      </c>
      <c r="AM10" s="1" t="s">
        <v>106</v>
      </c>
      <c r="AN10" s="1" t="str">
        <f>IF(AN9&gt;3,"Aprueba","Reprueba")</f>
        <v>Aprueba</v>
      </c>
    </row>
    <row r="11" spans="1:40" x14ac:dyDescent="0.25">
      <c r="AA11" s="7"/>
      <c r="AB11" s="13" t="s">
        <v>42</v>
      </c>
      <c r="AI11" s="1">
        <v>6</v>
      </c>
      <c r="AJ11" s="2"/>
      <c r="AM11" s="3" t="s">
        <v>103</v>
      </c>
      <c r="AN11" s="1" t="s">
        <v>113</v>
      </c>
    </row>
    <row r="12" spans="1:40" x14ac:dyDescent="0.25">
      <c r="AA12" s="7"/>
      <c r="AB12" s="13" t="s">
        <v>43</v>
      </c>
      <c r="AE12" s="2" t="s">
        <v>94</v>
      </c>
      <c r="AF12" s="2">
        <v>3</v>
      </c>
      <c r="AI12" s="1">
        <v>7</v>
      </c>
      <c r="AJ12" s="2"/>
      <c r="AM12" s="3" t="s">
        <v>104</v>
      </c>
      <c r="AN12" s="1" t="s">
        <v>114</v>
      </c>
    </row>
    <row r="13" spans="1:40" x14ac:dyDescent="0.25">
      <c r="AA13" s="7"/>
      <c r="AB13" s="13" t="s">
        <v>44</v>
      </c>
      <c r="AE13" s="2" t="s">
        <v>95</v>
      </c>
      <c r="AF13" s="2">
        <v>2</v>
      </c>
      <c r="AI13" s="1">
        <v>8</v>
      </c>
      <c r="AJ13" s="2"/>
      <c r="AM13" s="1" t="s">
        <v>110</v>
      </c>
      <c r="AN13" s="1">
        <v>3.6</v>
      </c>
    </row>
    <row r="14" spans="1:40" x14ac:dyDescent="0.25">
      <c r="AA14" s="7"/>
      <c r="AB14" s="13" t="s">
        <v>45</v>
      </c>
      <c r="AI14" s="1">
        <v>9</v>
      </c>
      <c r="AJ14" s="2"/>
      <c r="AM14" s="1" t="s">
        <v>111</v>
      </c>
      <c r="AN14" s="1">
        <v>2.4</v>
      </c>
    </row>
    <row r="15" spans="1:40" x14ac:dyDescent="0.25">
      <c r="AA15" s="7"/>
      <c r="AB15" s="13" t="s">
        <v>46</v>
      </c>
      <c r="AI15" s="1">
        <v>10</v>
      </c>
      <c r="AJ15" s="2" t="s">
        <v>98</v>
      </c>
      <c r="AM15" s="1" t="s">
        <v>112</v>
      </c>
      <c r="AN15" s="1">
        <v>4.5</v>
      </c>
    </row>
    <row r="16" spans="1:40" x14ac:dyDescent="0.25">
      <c r="AA16" s="7">
        <v>3</v>
      </c>
      <c r="AB16" s="1" t="s">
        <v>47</v>
      </c>
      <c r="AM16" s="1" t="s">
        <v>105</v>
      </c>
      <c r="AN16" s="1">
        <f t="shared" ref="AN16" si="1">AVERAGE(AN13:AN15)</f>
        <v>3.5</v>
      </c>
    </row>
    <row r="17" spans="27:40" x14ac:dyDescent="0.25">
      <c r="AA17" s="7"/>
      <c r="AB17" s="1" t="s">
        <v>48</v>
      </c>
      <c r="AI17" s="2">
        <f>AVERAGE(AI6:AI15)</f>
        <v>5.5</v>
      </c>
      <c r="AJ17" s="2" t="s">
        <v>18</v>
      </c>
      <c r="AM17" s="1" t="s">
        <v>106</v>
      </c>
      <c r="AN17" s="1" t="str">
        <f t="shared" ref="AN17:AN19" si="2">IF(AN16&gt;3,"Aprueba","Reprueba")</f>
        <v>Aprueba</v>
      </c>
    </row>
    <row r="18" spans="27:40" x14ac:dyDescent="0.25">
      <c r="AA18" s="7"/>
      <c r="AB18" s="1" t="s">
        <v>49</v>
      </c>
      <c r="AM18" s="3"/>
      <c r="AN18" s="1"/>
    </row>
    <row r="19" spans="27:40" x14ac:dyDescent="0.25">
      <c r="AA19" s="7"/>
      <c r="AB19" s="1" t="s">
        <v>50</v>
      </c>
      <c r="AM19" s="3"/>
      <c r="AN19" s="1"/>
    </row>
    <row r="20" spans="27:40" x14ac:dyDescent="0.25">
      <c r="AA20" s="7"/>
      <c r="AB20" s="1" t="s">
        <v>51</v>
      </c>
    </row>
    <row r="21" spans="27:40" x14ac:dyDescent="0.25">
      <c r="AA21" s="7"/>
      <c r="AB21" s="1" t="s">
        <v>52</v>
      </c>
    </row>
    <row r="22" spans="27:40" x14ac:dyDescent="0.25">
      <c r="AA22" s="7"/>
      <c r="AB22" s="1" t="s">
        <v>53</v>
      </c>
    </row>
    <row r="23" spans="27:40" x14ac:dyDescent="0.25">
      <c r="AA23" s="7"/>
      <c r="AB23" s="1" t="s">
        <v>54</v>
      </c>
    </row>
    <row r="24" spans="27:40" x14ac:dyDescent="0.25">
      <c r="AA24" s="7"/>
      <c r="AB24" s="1" t="s">
        <v>55</v>
      </c>
    </row>
    <row r="25" spans="27:40" x14ac:dyDescent="0.25">
      <c r="AA25" s="7"/>
      <c r="AB25" s="1" t="s">
        <v>56</v>
      </c>
    </row>
    <row r="26" spans="27:40" x14ac:dyDescent="0.25">
      <c r="AA26" s="7">
        <v>7</v>
      </c>
      <c r="AB26" s="1" t="s">
        <v>57</v>
      </c>
    </row>
    <row r="27" spans="27:40" x14ac:dyDescent="0.25">
      <c r="AA27" s="7"/>
      <c r="AB27" s="1" t="s">
        <v>58</v>
      </c>
    </row>
    <row r="28" spans="27:40" x14ac:dyDescent="0.25">
      <c r="AA28" s="7"/>
      <c r="AB28" s="1" t="s">
        <v>59</v>
      </c>
    </row>
    <row r="29" spans="27:40" x14ac:dyDescent="0.25">
      <c r="AA29" s="7"/>
      <c r="AB29" s="1" t="s">
        <v>60</v>
      </c>
    </row>
    <row r="30" spans="27:40" x14ac:dyDescent="0.25">
      <c r="AA30" s="7"/>
      <c r="AB30" s="1" t="s">
        <v>61</v>
      </c>
    </row>
    <row r="31" spans="27:40" x14ac:dyDescent="0.25">
      <c r="AA31" s="7"/>
      <c r="AB31" s="1" t="s">
        <v>62</v>
      </c>
    </row>
    <row r="32" spans="27:40" x14ac:dyDescent="0.25">
      <c r="AA32" s="7"/>
      <c r="AB32" s="1" t="s">
        <v>63</v>
      </c>
    </row>
    <row r="33" spans="27:28" x14ac:dyDescent="0.25">
      <c r="AA33" s="7"/>
      <c r="AB33" s="1" t="s">
        <v>64</v>
      </c>
    </row>
    <row r="34" spans="27:28" x14ac:dyDescent="0.25">
      <c r="AA34" s="7"/>
      <c r="AB34" s="1" t="s">
        <v>65</v>
      </c>
    </row>
    <row r="35" spans="27:28" x14ac:dyDescent="0.25">
      <c r="AA35" s="7"/>
      <c r="AB35" s="1" t="s">
        <v>66</v>
      </c>
    </row>
    <row r="36" spans="27:28" x14ac:dyDescent="0.25">
      <c r="AA36" s="7">
        <v>6</v>
      </c>
      <c r="AB36" s="1" t="s">
        <v>67</v>
      </c>
    </row>
    <row r="37" spans="27:28" x14ac:dyDescent="0.25">
      <c r="AA37" s="7"/>
      <c r="AB37" s="1" t="s">
        <v>68</v>
      </c>
    </row>
    <row r="38" spans="27:28" x14ac:dyDescent="0.25">
      <c r="AA38" s="7"/>
      <c r="AB38" s="1" t="s">
        <v>69</v>
      </c>
    </row>
    <row r="39" spans="27:28" x14ac:dyDescent="0.25">
      <c r="AA39" s="7"/>
      <c r="AB39" s="1" t="s">
        <v>70</v>
      </c>
    </row>
    <row r="40" spans="27:28" x14ac:dyDescent="0.25">
      <c r="AA40" s="7"/>
      <c r="AB40" s="1" t="s">
        <v>71</v>
      </c>
    </row>
    <row r="41" spans="27:28" x14ac:dyDescent="0.25">
      <c r="AA41" s="7"/>
      <c r="AB41" s="1" t="s">
        <v>72</v>
      </c>
    </row>
    <row r="42" spans="27:28" x14ac:dyDescent="0.25">
      <c r="AA42" s="7"/>
      <c r="AB42" s="1" t="s">
        <v>73</v>
      </c>
    </row>
    <row r="43" spans="27:28" x14ac:dyDescent="0.25">
      <c r="AA43" s="7"/>
      <c r="AB43" s="1" t="s">
        <v>74</v>
      </c>
    </row>
    <row r="44" spans="27:28" x14ac:dyDescent="0.25">
      <c r="AA44" s="7"/>
      <c r="AB44" s="1" t="s">
        <v>75</v>
      </c>
    </row>
    <row r="45" spans="27:28" x14ac:dyDescent="0.25">
      <c r="AA45" s="7"/>
      <c r="AB45" s="1" t="s">
        <v>76</v>
      </c>
    </row>
    <row r="46" spans="27:28" x14ac:dyDescent="0.25">
      <c r="AA46" s="7">
        <v>2</v>
      </c>
      <c r="AB46" s="1" t="s">
        <v>77</v>
      </c>
    </row>
    <row r="47" spans="27:28" x14ac:dyDescent="0.25">
      <c r="AA47" s="7"/>
      <c r="AB47" s="1" t="s">
        <v>78</v>
      </c>
    </row>
    <row r="48" spans="27:28" x14ac:dyDescent="0.25">
      <c r="AA48" s="7"/>
      <c r="AB48" s="1" t="s">
        <v>79</v>
      </c>
    </row>
    <row r="49" spans="27:28" x14ac:dyDescent="0.25">
      <c r="AA49" s="7"/>
      <c r="AB49" s="1" t="s">
        <v>80</v>
      </c>
    </row>
    <row r="50" spans="27:28" x14ac:dyDescent="0.25">
      <c r="AA50" s="7"/>
      <c r="AB50" s="1" t="s">
        <v>81</v>
      </c>
    </row>
    <row r="51" spans="27:28" x14ac:dyDescent="0.25">
      <c r="AA51" s="7"/>
      <c r="AB51" s="1" t="s">
        <v>82</v>
      </c>
    </row>
    <row r="52" spans="27:28" x14ac:dyDescent="0.25">
      <c r="AA52" s="7"/>
      <c r="AB52" s="1" t="s">
        <v>83</v>
      </c>
    </row>
    <row r="53" spans="27:28" x14ac:dyDescent="0.25">
      <c r="AA53" s="7"/>
      <c r="AB53" s="1" t="s">
        <v>84</v>
      </c>
    </row>
    <row r="54" spans="27:28" x14ac:dyDescent="0.25">
      <c r="AA54" s="7"/>
      <c r="AB54" s="1" t="s">
        <v>85</v>
      </c>
    </row>
    <row r="55" spans="27:28" x14ac:dyDescent="0.25">
      <c r="AA55" s="7"/>
      <c r="AB55" s="1" t="s">
        <v>86</v>
      </c>
    </row>
  </sheetData>
  <mergeCells count="62">
    <mergeCell ref="AM2:AN3"/>
    <mergeCell ref="AI2:AJ3"/>
    <mergeCell ref="AI4:AI5"/>
    <mergeCell ref="AJ4:AJ5"/>
    <mergeCell ref="AK2:AL3"/>
    <mergeCell ref="AK4:AK5"/>
    <mergeCell ref="AL4:AL5"/>
    <mergeCell ref="AE2:AF3"/>
    <mergeCell ref="AE4:AE5"/>
    <mergeCell ref="AF4:AF5"/>
    <mergeCell ref="AG2:AH3"/>
    <mergeCell ref="AG4:AG5"/>
    <mergeCell ref="AH4:AH5"/>
    <mergeCell ref="AA16:AA25"/>
    <mergeCell ref="AA26:AA35"/>
    <mergeCell ref="AA36:AA45"/>
    <mergeCell ref="AA46:AA55"/>
    <mergeCell ref="AC2:AD3"/>
    <mergeCell ref="AC4:AC5"/>
    <mergeCell ref="AD4:AD5"/>
    <mergeCell ref="AA2:AB3"/>
    <mergeCell ref="AA4:AA5"/>
    <mergeCell ref="AB4:AB5"/>
    <mergeCell ref="AA6:AA15"/>
    <mergeCell ref="X2:Z3"/>
    <mergeCell ref="X4:X5"/>
    <mergeCell ref="Y4:Y5"/>
    <mergeCell ref="Z4:Z5"/>
    <mergeCell ref="Y6:Y10"/>
    <mergeCell ref="R2:S3"/>
    <mergeCell ref="R4:R5"/>
    <mergeCell ref="S4:S5"/>
    <mergeCell ref="T2:W3"/>
    <mergeCell ref="T4:T5"/>
    <mergeCell ref="U4:U5"/>
    <mergeCell ref="V4:V5"/>
    <mergeCell ref="W4:W5"/>
    <mergeCell ref="O2:Q3"/>
    <mergeCell ref="O4:O5"/>
    <mergeCell ref="P4:P5"/>
    <mergeCell ref="Q4:Q5"/>
    <mergeCell ref="A1:Q1"/>
    <mergeCell ref="K4:K5"/>
    <mergeCell ref="L4:L5"/>
    <mergeCell ref="M4:M5"/>
    <mergeCell ref="N4:N5"/>
    <mergeCell ref="K2:N3"/>
    <mergeCell ref="G4:G5"/>
    <mergeCell ref="H4:H5"/>
    <mergeCell ref="I4:I5"/>
    <mergeCell ref="J4:J5"/>
    <mergeCell ref="H2:J3"/>
    <mergeCell ref="I6:I10"/>
    <mergeCell ref="A2:C3"/>
    <mergeCell ref="A4:A5"/>
    <mergeCell ref="B4:B5"/>
    <mergeCell ref="C4:C5"/>
    <mergeCell ref="A6:A10"/>
    <mergeCell ref="D2:G3"/>
    <mergeCell ref="D4:D5"/>
    <mergeCell ref="E4:E5"/>
    <mergeCell ref="F4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Chala Ramirez</dc:creator>
  <cp:lastModifiedBy>Juan Pablo Chala Ramirez</cp:lastModifiedBy>
  <dcterms:created xsi:type="dcterms:W3CDTF">2026-02-05T19:46:03Z</dcterms:created>
  <dcterms:modified xsi:type="dcterms:W3CDTF">2026-02-09T16:27:56Z</dcterms:modified>
</cp:coreProperties>
</file>